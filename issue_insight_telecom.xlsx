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LECOM-CHURN-ANALYSIS-PROJECT\Documentation\"/>
    </mc:Choice>
  </mc:AlternateContent>
  <xr:revisionPtr revIDLastSave="0" documentId="8_{03AEF553-B2A4-466C-BEB5-CF7976C9D60D}" xr6:coauthVersionLast="47" xr6:coauthVersionMax="47" xr10:uidLastSave="{00000000-0000-0000-0000-000000000000}"/>
  <bookViews>
    <workbookView xWindow="-108" yWindow="-108" windowWidth="23256" windowHeight="12456" activeTab="1" xr2:uid="{3686294F-9D66-47E7-837E-68D58BC13E77}"/>
  </bookViews>
  <sheets>
    <sheet name="Insight_log" sheetId="3" r:id="rId1"/>
    <sheet name="issue_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2" l="1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</calcChain>
</file>

<file path=xl/sharedStrings.xml><?xml version="1.0" encoding="utf-8"?>
<sst xmlns="http://schemas.openxmlformats.org/spreadsheetml/2006/main" count="143" uniqueCount="94">
  <si>
    <t>Total rows</t>
  </si>
  <si>
    <t>No:</t>
  </si>
  <si>
    <t>Tab</t>
  </si>
  <si>
    <t>Column</t>
  </si>
  <si>
    <t>Issue</t>
  </si>
  <si>
    <t>Solvable</t>
  </si>
  <si>
    <t>Rows</t>
  </si>
  <si>
    <t>% of error</t>
  </si>
  <si>
    <t>Solution</t>
  </si>
  <si>
    <t>telecom_customer_churn</t>
  </si>
  <si>
    <t>Avg Monthly Long Distance Charges</t>
  </si>
  <si>
    <t>Blank values for customers who is not taken phone service from company</t>
  </si>
  <si>
    <t>Y</t>
  </si>
  <si>
    <t>Set charge to 0 for customers without phone service, since no service implies no cost.</t>
  </si>
  <si>
    <t>Multiple Lines</t>
  </si>
  <si>
    <t>For customers without phone service, the field is marked as ‘Not Applicable’; Yes/No values are used only for customers with phone service.</t>
  </si>
  <si>
    <t>Internet Type</t>
  </si>
  <si>
    <t>Blank values for customers who is not taken internet service from company</t>
  </si>
  <si>
    <t>For customers without Internet service, the field is marked as ‘Not Applicable’; Yes/No values are used only for customers with phone service.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</si>
  <si>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</si>
  <si>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</si>
  <si>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</si>
  <si>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</si>
  <si>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</si>
  <si>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</si>
  <si>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</si>
  <si>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</si>
  <si>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</si>
  <si>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Monthly Charge</t>
  </si>
  <si>
    <t>Colums having negative values</t>
  </si>
  <si>
    <t>N</t>
  </si>
  <si>
    <t>Resolved 120 negative Monthly Charge anomalies by recalculating the field as (Total Charges / Tenure in Months) to reflect actual historical billing averages.</t>
  </si>
  <si>
    <t>Churn Category</t>
  </si>
  <si>
    <t xml:space="preserve">Blank values for customer status who is stayed and joined </t>
  </si>
  <si>
    <t>For active customers, blank values are retained as NULL to ensure accurate analysis and clean visualizations, as the field is not relevant for these records.</t>
  </si>
  <si>
    <t>Churn Reason</t>
  </si>
  <si>
    <t>Primary EDA</t>
  </si>
  <si>
    <t>No;</t>
  </si>
  <si>
    <t>Metric/dimension</t>
  </si>
  <si>
    <t>Findings</t>
  </si>
  <si>
    <t>Contract/ CustomerID</t>
  </si>
  <si>
    <t>1655 Customers were churned from the month to month contract.</t>
  </si>
  <si>
    <t>Churn category/ CustomerID</t>
  </si>
  <si>
    <t>Most of the customers were churned because of competitor (almost 841 customers). Attitude and dissatisfaction also stand 2nd and 3rd meeting above 300+ customer churned.</t>
  </si>
  <si>
    <t>Churn reason/ CustomerID</t>
  </si>
  <si>
    <t>Majority of the reasons are pointing to competitor and attitude of support person</t>
  </si>
  <si>
    <t>Churn category/ revenue</t>
  </si>
  <si>
    <t>Competitor is the costing the company the most money.</t>
  </si>
  <si>
    <t>Tenure segment/ customerID</t>
  </si>
  <si>
    <t>0-6 months segments are mostly churned(700+ customers)</t>
  </si>
  <si>
    <t>Offer/ customerid</t>
  </si>
  <si>
    <t>1051 customers were churned in the none offer category also Offer E have a 400+ customer churn count.</t>
  </si>
  <si>
    <t>Age group/ customerid</t>
  </si>
  <si>
    <t xml:space="preserve">915 customers were in the age group of 55+ </t>
  </si>
  <si>
    <t>Pay method/ customer id</t>
  </si>
  <si>
    <t>bank withdrawel customers are churned higher</t>
  </si>
  <si>
    <t>internet type/ customer id</t>
  </si>
  <si>
    <t>fiber optic internet type having higher churn</t>
  </si>
  <si>
    <t>Deep Insights</t>
  </si>
  <si>
    <t>Deep-Insights</t>
  </si>
  <si>
    <t>88.5% of all churned customers are on month-to-month contracts, indicating significantly higher attrition compared to long-term contract customers. This highlights contract type as a primary driver of churn and a key focus area for retention strategies.</t>
  </si>
  <si>
    <t>45% of churn is driven by competitors, making it the dominant churn reason. In comparison, company-controlled factors such as support partner attitude (16%) and dissatisfaction with services (17%) together account for a substantial share, indicating clear internal improvement opportunities.</t>
  </si>
  <si>
    <t>45.16% of customer churn is due to competitor-related factors, including better offers, more attractive devices, and perceived shortcomings in our support partner’s attitude.</t>
  </si>
  <si>
    <t>A total of 3,684,459 in revenue was lost due to customer churn, with 45.99% of this loss attributed to competitors.</t>
  </si>
  <si>
    <t>The majority of churned customers—784 in total—have a tenure of less than six months, indicating early-stage attrition as a critical risk period.</t>
  </si>
  <si>
    <t>56.23% of churned customers did not utilize any company-provided offers, indicating missed opportunities to retain them with better offer.</t>
  </si>
  <si>
    <t>Customers who opted for Offer E experienced a 22.79% churn rate, highlighting that even the offer may not fully prevent attrition.</t>
  </si>
  <si>
    <t>Customers aged 50 and above account for 48.96% of total churn, indicating that this demographic is particularly vulnerable to attrition.</t>
  </si>
  <si>
    <t>Customers using the bank withdrawal payment option exhibit a high churn rate of 71.11%, signaling a strong correlation between this payment method and attrition.</t>
  </si>
  <si>
    <t xml:space="preserve"> churned customers were using fiber optic connections, suggesting service type may influence attrition patterns.</t>
  </si>
  <si>
    <t>Churn is higher among customers who did not opt for premium services: 62.95% of those without online security and 83.20% of those without premium support have churned, highlighting the retention impact of value-added services.</t>
  </si>
  <si>
    <t>San Diego accounts for approximately 185 churned customers, representing around 10% of total churn.</t>
  </si>
  <si>
    <t>We acquired 454 new customers, all within the high-risk 0–6 month tenure segment. Nearly all are on month-to-month contracts and have not availed any offers except for Offer E, highlighting potential early-stage attrition risks.</t>
  </si>
  <si>
    <t>Of the 454 new customers, 142 are aged 55 and above, placing a significant portion in a demographic prone to higher churn risk.</t>
  </si>
  <si>
    <t>Areas</t>
  </si>
  <si>
    <t>Recommandations</t>
  </si>
  <si>
    <t>Reduce month-to-month contract churn</t>
  </si>
  <si>
    <r>
      <t xml:space="preserve">Introduce </t>
    </r>
    <r>
      <rPr>
        <b/>
        <sz val="11"/>
        <color theme="1"/>
        <rFont val="Calibri"/>
        <family val="2"/>
        <scheme val="minor"/>
      </rPr>
      <t>short-term lock-in plans (3–6 months)</t>
    </r>
    <r>
      <rPr>
        <sz val="11"/>
        <color theme="1"/>
        <rFont val="Calibri"/>
        <family val="2"/>
        <scheme val="minor"/>
      </rPr>
      <t xml:space="preserve"> with pricing incentives during the early tenure period to reduce high churn associated with month-to-month contracts.</t>
    </r>
  </si>
  <si>
    <t>Counter competitor-driven churn</t>
  </si>
  <si>
    <r>
      <t xml:space="preserve">Launch </t>
    </r>
    <r>
      <rPr>
        <b/>
        <sz val="11"/>
        <color theme="1"/>
        <rFont val="Calibri"/>
        <family val="2"/>
        <scheme val="minor"/>
      </rPr>
      <t>competitor-aligned retention offers</t>
    </r>
    <r>
      <rPr>
        <sz val="11"/>
        <color theme="1"/>
        <rFont val="Calibri"/>
        <family val="2"/>
        <scheme val="minor"/>
      </rPr>
      <t xml:space="preserve"> (pricing, bundled benefits, or device-related incentives) targeted at customers showing early churn signals to directly address competitive pressure</t>
    </r>
  </si>
  <si>
    <t>Address internal service quality issues</t>
  </si>
  <si>
    <r>
      <t xml:space="preserve">Establish a </t>
    </r>
    <r>
      <rPr>
        <b/>
        <sz val="11"/>
        <color theme="1"/>
        <rFont val="Calibri"/>
        <family val="2"/>
        <scheme val="minor"/>
      </rPr>
      <t>service quality review task force</t>
    </r>
    <r>
      <rPr>
        <sz val="11"/>
        <color theme="1"/>
        <rFont val="Calibri"/>
        <family val="2"/>
        <scheme val="minor"/>
      </rPr>
      <t xml:space="preserve"> to evaluate support partner attitude and service dissatisfaction through audits, customer feedback analysis, and corrective training.</t>
    </r>
  </si>
  <si>
    <t>Strengthen early-stage customer onboarding (0–6 months)</t>
  </si>
  <si>
    <r>
      <t xml:space="preserve">Implement a </t>
    </r>
    <r>
      <rPr>
        <b/>
        <sz val="11"/>
        <color theme="1"/>
        <rFont val="Calibri"/>
        <family val="2"/>
        <scheme val="minor"/>
      </rPr>
      <t>structured 90-day engagement program</t>
    </r>
    <r>
      <rPr>
        <sz val="11"/>
        <color theme="1"/>
        <rFont val="Calibri"/>
        <family val="2"/>
        <scheme val="minor"/>
      </rPr>
      <t xml:space="preserve"> including welcome calls, proactive support check-ins, and service reviews to reduce early-stage attrition.</t>
    </r>
  </si>
  <si>
    <t>Improve offer adoption to enhance retention</t>
  </si>
  <si>
    <r>
      <t xml:space="preserve">Deploy </t>
    </r>
    <r>
      <rPr>
        <b/>
        <sz val="11"/>
        <color theme="1"/>
        <rFont val="Calibri"/>
        <family val="2"/>
        <scheme val="minor"/>
      </rPr>
      <t>personalized, behavior-based offers</t>
    </r>
    <r>
      <rPr>
        <sz val="11"/>
        <color theme="1"/>
        <rFont val="Calibri"/>
        <family val="2"/>
        <scheme val="minor"/>
      </rPr>
      <t xml:space="preserve"> with targeted discounts instead of generic promotions to increase engagement and prevent avoidable churn</t>
    </r>
  </si>
  <si>
    <t>Focus on high-risk 55+ customer segment</t>
  </si>
  <si>
    <r>
      <t xml:space="preserve">Design </t>
    </r>
    <r>
      <rPr>
        <b/>
        <sz val="11"/>
        <color theme="1"/>
        <rFont val="Calibri"/>
        <family val="2"/>
        <scheme val="minor"/>
      </rPr>
      <t>senior-focused retention strategies</t>
    </r>
    <r>
      <rPr>
        <sz val="11"/>
        <color theme="1"/>
        <rFont val="Calibri"/>
        <family val="2"/>
        <scheme val="minor"/>
      </rPr>
      <t>, including simplified plans, proactive communication, and dedicated support to improve retention within this high-churn demographic</t>
    </r>
  </si>
  <si>
    <t>Optimize payment experience to reduce churn</t>
  </si>
  <si>
    <r>
      <t xml:space="preserve">Introduce and promote </t>
    </r>
    <r>
      <rPr>
        <b/>
        <sz val="11"/>
        <color theme="1"/>
        <rFont val="Calibri"/>
        <family val="2"/>
        <scheme val="minor"/>
      </rPr>
      <t>alternative, low-friction payment methods</t>
    </r>
    <r>
      <rPr>
        <sz val="11"/>
        <color theme="1"/>
        <rFont val="Calibri"/>
        <family val="2"/>
        <scheme val="minor"/>
      </rPr>
      <t xml:space="preserve"> while auditing existing payment processes to eliminate failures contributing to churn</t>
    </r>
  </si>
  <si>
    <t>Leverage premium services as retention tools</t>
  </si>
  <si>
    <r>
      <t xml:space="preserve">Offer </t>
    </r>
    <r>
      <rPr>
        <b/>
        <sz val="11"/>
        <color theme="1"/>
        <rFont val="Calibri"/>
        <family val="2"/>
        <scheme val="minor"/>
      </rPr>
      <t>discounted premium support and security services</t>
    </r>
    <r>
      <rPr>
        <sz val="11"/>
        <color theme="1"/>
        <rFont val="Calibri"/>
        <family val="2"/>
        <scheme val="minor"/>
      </rPr>
      <t xml:space="preserve"> to new customers and long-tenure customers to increase perceived value and reduce churn risk</t>
    </r>
  </si>
  <si>
    <t>Improve support partner behavior and customer interaction</t>
  </si>
  <si>
    <r>
      <t xml:space="preserve">Conduct </t>
    </r>
    <r>
      <rPr>
        <b/>
        <sz val="11"/>
        <color theme="1"/>
        <rFont val="Calibri"/>
        <family val="2"/>
        <scheme val="minor"/>
      </rPr>
      <t>mandatory behavioral training programs</t>
    </r>
    <r>
      <rPr>
        <sz val="11"/>
        <color theme="1"/>
        <rFont val="Calibri"/>
        <family val="2"/>
        <scheme val="minor"/>
      </rPr>
      <t xml:space="preserve"> for support partners and introduce performance tracking tied to customer satisfaction metrics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</si>
</sst>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9" fontId="0" fillId="3" borderId="0" xfId="1" applyFont="1" applyFill="1" applyBorder="1" applyAlignment="1">
      <alignment horizontal="center"/>
    </xf>
    <xf numFmtId="0" fontId="0" fillId="3" borderId="7" xfId="0" applyFill="1" applyBorder="1"/>
    <xf numFmtId="0" fontId="0" fillId="3" borderId="8" xfId="0" applyFill="1" applyBorder="1" applyAlignment="1">
      <alignment horizontal="center"/>
    </xf>
    <xf numFmtId="0" fontId="0" fillId="3" borderId="9" xfId="0" applyFill="1" applyBorder="1"/>
    <xf numFmtId="0" fontId="0" fillId="3" borderId="9" xfId="0" applyFill="1" applyBorder="1" applyAlignment="1">
      <alignment horizontal="center"/>
    </xf>
    <xf numFmtId="9" fontId="0" fillId="3" borderId="9" xfId="1" applyFont="1" applyFill="1" applyBorder="1" applyAlignment="1">
      <alignment horizontal="center"/>
    </xf>
    <xf numFmtId="0" fontId="0" fillId="3" borderId="10" xfId="0" applyFill="1" applyBorder="1"/>
    <xf numFmtId="0" fontId="3" fillId="0" borderId="0" xfId="0" applyFont="1"/>
    <xf numFmtId="0" fontId="6" fillId="0" borderId="0" xfId="0" applyFont="1" applyAlignment="1">
      <alignment vertical="center" readingOrder="1"/>
    </xf>
    <xf numFmtId="0" fontId="7" fillId="0" borderId="0" xfId="0" applyFont="1" applyAlignment="1">
      <alignment vertical="center" readingOrder="1"/>
    </xf>
    <xf numFmtId="0" fontId="2" fillId="2" borderId="11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2" fillId="2" borderId="12" xfId="0" applyFont="1" applyFill="1" applyBorder="1"/>
    <xf numFmtId="0" fontId="0" fillId="4" borderId="13" xfId="0" applyFill="1" applyBorder="1"/>
    <xf numFmtId="0" fontId="0" fillId="4" borderId="14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1447D-5AE4-4F9B-A3DC-9B7BECA3E2A5}">
  <dimension ref="A4:C51"/>
  <sheetViews>
    <sheetView topLeftCell="A6" zoomScaleNormal="100" workbookViewId="0">
      <selection activeCell="C32" sqref="C32"/>
    </sheetView>
  </sheetViews>
  <sheetFormatPr defaultRowHeight="14.4" x14ac:dyDescent="0.3"/>
  <cols>
    <col min="1" max="1" width="4" bestFit="1" customWidth="1"/>
    <col min="2" max="2" width="49.109375" bestFit="1" customWidth="1"/>
    <col min="3" max="3" width="209.6640625" bestFit="1" customWidth="1"/>
  </cols>
  <sheetData>
    <row r="4" spans="1:3" x14ac:dyDescent="0.3">
      <c r="B4" s="19" t="s">
        <v>36</v>
      </c>
    </row>
    <row r="6" spans="1:3" x14ac:dyDescent="0.3">
      <c r="A6" s="20" t="s">
        <v>37</v>
      </c>
      <c r="B6" s="21" t="s">
        <v>38</v>
      </c>
      <c r="C6" s="22" t="s">
        <v>39</v>
      </c>
    </row>
    <row r="7" spans="1:3" x14ac:dyDescent="0.3">
      <c r="A7" s="23">
        <v>1</v>
      </c>
      <c r="B7" s="24" t="s">
        <v>40</v>
      </c>
      <c r="C7" s="25" t="s">
        <v>41</v>
      </c>
    </row>
    <row r="8" spans="1:3" x14ac:dyDescent="0.3">
      <c r="A8" s="23">
        <v>2</v>
      </c>
      <c r="B8" s="24" t="s">
        <v>42</v>
      </c>
      <c r="C8" s="25" t="s">
        <v>43</v>
      </c>
    </row>
    <row r="9" spans="1:3" x14ac:dyDescent="0.3">
      <c r="A9" s="23">
        <v>3</v>
      </c>
      <c r="B9" s="24" t="s">
        <v>44</v>
      </c>
      <c r="C9" s="25" t="s">
        <v>45</v>
      </c>
    </row>
    <row r="10" spans="1:3" x14ac:dyDescent="0.3">
      <c r="A10" s="23">
        <v>4</v>
      </c>
      <c r="B10" s="24" t="s">
        <v>46</v>
      </c>
      <c r="C10" s="25" t="s">
        <v>47</v>
      </c>
    </row>
    <row r="11" spans="1:3" x14ac:dyDescent="0.3">
      <c r="A11" s="23">
        <v>5</v>
      </c>
      <c r="B11" s="24" t="s">
        <v>48</v>
      </c>
      <c r="C11" s="25" t="s">
        <v>49</v>
      </c>
    </row>
    <row r="12" spans="1:3" x14ac:dyDescent="0.3">
      <c r="A12" s="23">
        <v>6</v>
      </c>
      <c r="B12" s="24" t="s">
        <v>50</v>
      </c>
      <c r="C12" s="25" t="s">
        <v>51</v>
      </c>
    </row>
    <row r="13" spans="1:3" x14ac:dyDescent="0.3">
      <c r="A13" s="23">
        <v>7</v>
      </c>
      <c r="B13" s="24" t="s">
        <v>52</v>
      </c>
      <c r="C13" s="25" t="s">
        <v>53</v>
      </c>
    </row>
    <row r="14" spans="1:3" x14ac:dyDescent="0.3">
      <c r="A14" s="23">
        <v>8</v>
      </c>
      <c r="B14" s="24" t="s">
        <v>54</v>
      </c>
      <c r="C14" s="25" t="s">
        <v>55</v>
      </c>
    </row>
    <row r="15" spans="1:3" x14ac:dyDescent="0.3">
      <c r="A15" s="26">
        <v>9</v>
      </c>
      <c r="B15" s="27" t="s">
        <v>56</v>
      </c>
      <c r="C15" s="28" t="s">
        <v>57</v>
      </c>
    </row>
    <row r="21" spans="2:3" x14ac:dyDescent="0.3">
      <c r="B21" s="19" t="s">
        <v>58</v>
      </c>
    </row>
    <row r="23" spans="2:3" x14ac:dyDescent="0.3">
      <c r="C23" s="29" t="s">
        <v>59</v>
      </c>
    </row>
    <row r="24" spans="2:3" x14ac:dyDescent="0.3">
      <c r="C24" s="30" t="s">
        <v>60</v>
      </c>
    </row>
    <row r="25" spans="2:3" x14ac:dyDescent="0.3">
      <c r="C25" s="30" t="s">
        <v>61</v>
      </c>
    </row>
    <row r="26" spans="2:3" x14ac:dyDescent="0.3">
      <c r="C26" s="30" t="s">
        <v>62</v>
      </c>
    </row>
    <row r="27" spans="2:3" x14ac:dyDescent="0.3">
      <c r="C27" s="30" t="s">
        <v>63</v>
      </c>
    </row>
    <row r="28" spans="2:3" x14ac:dyDescent="0.3">
      <c r="C28" s="30" t="s">
        <v>64</v>
      </c>
    </row>
    <row r="29" spans="2:3" x14ac:dyDescent="0.3">
      <c r="C29" s="30" t="s">
        <v>65</v>
      </c>
    </row>
    <row r="30" spans="2:3" x14ac:dyDescent="0.3">
      <c r="C30" s="30" t="s">
        <v>66</v>
      </c>
    </row>
    <row r="31" spans="2:3" x14ac:dyDescent="0.3">
      <c r="C31" s="30" t="s">
        <v>67</v>
      </c>
    </row>
    <row r="32" spans="2:3" x14ac:dyDescent="0.3">
      <c r="C32" s="30" t="s">
        <v>68</v>
      </c>
    </row>
    <row r="33" spans="1:3" x14ac:dyDescent="0.3">
      <c r="C33" s="30" t="s">
        <v>69</v>
      </c>
    </row>
    <row r="34" spans="1:3" x14ac:dyDescent="0.3">
      <c r="C34" s="30" t="s">
        <v>70</v>
      </c>
    </row>
    <row r="35" spans="1:3" x14ac:dyDescent="0.3">
      <c r="C35" s="30" t="s">
        <v>71</v>
      </c>
    </row>
    <row r="36" spans="1:3" x14ac:dyDescent="0.3">
      <c r="C36" s="30" t="s">
        <v>72</v>
      </c>
    </row>
    <row r="37" spans="1:3" x14ac:dyDescent="0.3">
      <c r="C37" s="31" t="s">
        <v>73</v>
      </c>
    </row>
    <row r="42" spans="1:3" x14ac:dyDescent="0.3">
      <c r="A42" s="19" t="s">
        <v>1</v>
      </c>
      <c r="B42" s="19" t="s">
        <v>74</v>
      </c>
      <c r="C42" s="19" t="s">
        <v>75</v>
      </c>
    </row>
    <row r="43" spans="1:3" x14ac:dyDescent="0.3">
      <c r="A43" s="23">
        <v>1</v>
      </c>
      <c r="B43" s="24" t="s">
        <v>76</v>
      </c>
      <c r="C43" s="25" t="s">
        <v>77</v>
      </c>
    </row>
    <row r="44" spans="1:3" x14ac:dyDescent="0.3">
      <c r="A44" s="23">
        <v>2</v>
      </c>
      <c r="B44" s="24" t="s">
        <v>78</v>
      </c>
      <c r="C44" s="25" t="s">
        <v>79</v>
      </c>
    </row>
    <row r="45" spans="1:3" x14ac:dyDescent="0.3">
      <c r="A45" s="23">
        <v>3</v>
      </c>
      <c r="B45" s="24" t="s">
        <v>80</v>
      </c>
      <c r="C45" s="25" t="s">
        <v>81</v>
      </c>
    </row>
    <row r="46" spans="1:3" x14ac:dyDescent="0.3">
      <c r="A46" s="23">
        <v>4</v>
      </c>
      <c r="B46" s="24" t="s">
        <v>82</v>
      </c>
      <c r="C46" s="25" t="s">
        <v>83</v>
      </c>
    </row>
    <row r="47" spans="1:3" x14ac:dyDescent="0.3">
      <c r="A47" s="23">
        <v>5</v>
      </c>
      <c r="B47" s="24" t="s">
        <v>84</v>
      </c>
      <c r="C47" s="25" t="s">
        <v>85</v>
      </c>
    </row>
    <row r="48" spans="1:3" x14ac:dyDescent="0.3">
      <c r="A48" s="23">
        <v>6</v>
      </c>
      <c r="B48" s="24" t="s">
        <v>86</v>
      </c>
      <c r="C48" s="25" t="s">
        <v>87</v>
      </c>
    </row>
    <row r="49" spans="1:3" x14ac:dyDescent="0.3">
      <c r="A49" s="23">
        <v>7</v>
      </c>
      <c r="B49" s="24" t="s">
        <v>88</v>
      </c>
      <c r="C49" s="25" t="s">
        <v>89</v>
      </c>
    </row>
    <row r="50" spans="1:3" x14ac:dyDescent="0.3">
      <c r="A50" s="23">
        <v>8</v>
      </c>
      <c r="B50" s="24" t="s">
        <v>90</v>
      </c>
      <c r="C50" s="25" t="s">
        <v>91</v>
      </c>
    </row>
    <row r="51" spans="1:3" x14ac:dyDescent="0.3">
      <c r="A51" s="26">
        <v>9</v>
      </c>
      <c r="B51" s="27" t="s">
        <v>92</v>
      </c>
      <c r="C51" s="28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DC406-092E-4C16-8978-B97AE9B86248}">
  <dimension ref="A2:H24"/>
  <sheetViews>
    <sheetView tabSelected="1" topLeftCell="A4" workbookViewId="0">
      <selection activeCell="H22" sqref="H22"/>
    </sheetView>
  </sheetViews>
  <sheetFormatPr defaultRowHeight="14.4" x14ac:dyDescent="0.3"/>
  <cols>
    <col min="2" max="2" width="22.21875" bestFit="1" customWidth="1"/>
    <col min="3" max="3" width="30.33203125" bestFit="1" customWidth="1"/>
    <col min="4" max="4" width="63.44140625" bestFit="1" customWidth="1"/>
    <col min="5" max="5" width="8.6640625" bestFit="1" customWidth="1"/>
    <col min="6" max="6" width="6" bestFit="1" customWidth="1"/>
    <col min="7" max="7" width="10.33203125" bestFit="1" customWidth="1"/>
    <col min="8" max="8" width="130.109375" bestFit="1" customWidth="1"/>
  </cols>
  <sheetData>
    <row r="2" spans="1:8" x14ac:dyDescent="0.3">
      <c r="B2" s="1" t="s">
        <v>0</v>
      </c>
      <c r="C2" s="2">
        <v>7043</v>
      </c>
    </row>
    <row r="4" spans="1:8" ht="15.6" x14ac:dyDescent="0.3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5" t="s">
        <v>8</v>
      </c>
    </row>
    <row r="5" spans="1:8" x14ac:dyDescent="0.3">
      <c r="A5" s="6">
        <v>1</v>
      </c>
      <c r="B5" s="7" t="s">
        <v>9</v>
      </c>
      <c r="C5" s="8" t="s">
        <v>10</v>
      </c>
      <c r="D5" s="7" t="s">
        <v>11</v>
      </c>
      <c r="E5" s="8" t="s">
        <v>12</v>
      </c>
      <c r="F5" s="7">
        <v>682</v>
      </c>
      <c r="G5" s="9">
        <f>F5/$C$2</f>
        <v>9.6833735624023851E-2</v>
      </c>
      <c r="H5" s="10" t="s">
        <v>13</v>
      </c>
    </row>
    <row r="6" spans="1:8" x14ac:dyDescent="0.3">
      <c r="A6" s="6">
        <v>2</v>
      </c>
      <c r="B6" s="7" t="s">
        <v>9</v>
      </c>
      <c r="C6" s="8" t="s">
        <v>14</v>
      </c>
      <c r="D6" s="7" t="s">
        <v>11</v>
      </c>
      <c r="E6" s="8" t="s">
        <v>12</v>
      </c>
      <c r="F6" s="7">
        <v>682</v>
      </c>
      <c r="G6" s="9">
        <f t="shared" ref="G6:G19" si="0">F6/$C$2</f>
        <v>9.6833735624023851E-2</v>
      </c>
      <c r="H6" s="10" t="s">
        <v>15</v>
      </c>
    </row>
    <row r="7" spans="1:8" x14ac:dyDescent="0.3">
      <c r="A7" s="6">
        <v>3</v>
      </c>
      <c r="B7" s="7" t="s">
        <v>9</v>
      </c>
      <c r="C7" s="8" t="s">
        <v>16</v>
      </c>
      <c r="D7" s="7" t="s">
        <v>17</v>
      </c>
      <c r="E7" s="8" t="s">
        <v>12</v>
      </c>
      <c r="F7" s="7">
        <v>1526</v>
      </c>
      <c r="G7" s="9">
        <f t="shared" si="0"/>
        <v>0.21666903308249325</v>
      </c>
      <c r="H7" s="10" t="s">
        <v>18</v>
      </c>
    </row>
    <row r="8" spans="1:8" x14ac:dyDescent="0.3">
      <c r="A8" s="6">
        <v>4</v>
      </c>
      <c r="B8" s="7" t="s">
        <v>9</v>
      </c>
      <c r="C8" s="8" t="s">
        <v>19</v>
      </c>
      <c r="D8" s="7" t="s">
        <v>17</v>
      </c>
      <c r="E8" s="8" t="s">
        <v>12</v>
      </c>
      <c r="F8" s="7">
        <v>1526</v>
      </c>
      <c r="G8" s="9">
        <f t="shared" si="0"/>
        <v>0.21666903308249325</v>
      </c>
      <c r="H8" s="10" t="s">
        <v>18</v>
      </c>
    </row>
    <row r="9" spans="1:8" x14ac:dyDescent="0.3">
      <c r="A9" s="6">
        <v>5</v>
      </c>
      <c r="B9" s="7" t="s">
        <v>9</v>
      </c>
      <c r="C9" s="8" t="s">
        <v>20</v>
      </c>
      <c r="D9" s="7" t="s">
        <v>17</v>
      </c>
      <c r="E9" s="8" t="s">
        <v>12</v>
      </c>
      <c r="F9" s="7">
        <v>1526</v>
      </c>
      <c r="G9" s="9">
        <f t="shared" si="0"/>
        <v>0.21666903308249325</v>
      </c>
      <c r="H9" s="10" t="s">
        <v>18</v>
      </c>
    </row>
    <row r="10" spans="1:8" x14ac:dyDescent="0.3">
      <c r="A10" s="6">
        <v>6</v>
      </c>
      <c r="B10" s="7" t="s">
        <v>9</v>
      </c>
      <c r="C10" s="8" t="s">
        <v>21</v>
      </c>
      <c r="D10" s="7" t="s">
        <v>17</v>
      </c>
      <c r="E10" s="8" t="s">
        <v>12</v>
      </c>
      <c r="F10" s="7">
        <v>1526</v>
      </c>
      <c r="G10" s="9">
        <f t="shared" si="0"/>
        <v>0.21666903308249325</v>
      </c>
      <c r="H10" s="10" t="s">
        <v>18</v>
      </c>
    </row>
    <row r="11" spans="1:8" x14ac:dyDescent="0.3">
      <c r="A11" s="6">
        <v>7</v>
      </c>
      <c r="B11" s="7" t="s">
        <v>9</v>
      </c>
      <c r="C11" s="8" t="s">
        <v>22</v>
      </c>
      <c r="D11" s="7" t="s">
        <v>17</v>
      </c>
      <c r="E11" s="8" t="s">
        <v>12</v>
      </c>
      <c r="F11" s="7">
        <v>1526</v>
      </c>
      <c r="G11" s="9">
        <f t="shared" si="0"/>
        <v>0.21666903308249325</v>
      </c>
      <c r="H11" s="10" t="s">
        <v>18</v>
      </c>
    </row>
    <row r="12" spans="1:8" x14ac:dyDescent="0.3">
      <c r="A12" s="6">
        <v>8</v>
      </c>
      <c r="B12" s="7" t="s">
        <v>9</v>
      </c>
      <c r="C12" s="8" t="s">
        <v>23</v>
      </c>
      <c r="D12" s="7" t="s">
        <v>17</v>
      </c>
      <c r="E12" s="8" t="s">
        <v>12</v>
      </c>
      <c r="F12" s="7">
        <v>1526</v>
      </c>
      <c r="G12" s="9">
        <f t="shared" si="0"/>
        <v>0.21666903308249325</v>
      </c>
      <c r="H12" s="10" t="s">
        <v>18</v>
      </c>
    </row>
    <row r="13" spans="1:8" x14ac:dyDescent="0.3">
      <c r="A13" s="6">
        <v>9</v>
      </c>
      <c r="B13" s="7" t="s">
        <v>9</v>
      </c>
      <c r="C13" s="8" t="s">
        <v>24</v>
      </c>
      <c r="D13" s="7" t="s">
        <v>17</v>
      </c>
      <c r="E13" s="8" t="s">
        <v>12</v>
      </c>
      <c r="F13" s="7">
        <v>1526</v>
      </c>
      <c r="G13" s="9">
        <f t="shared" si="0"/>
        <v>0.21666903308249325</v>
      </c>
      <c r="H13" s="10" t="s">
        <v>18</v>
      </c>
    </row>
    <row r="14" spans="1:8" x14ac:dyDescent="0.3">
      <c r="A14" s="6">
        <v>10</v>
      </c>
      <c r="B14" s="7" t="s">
        <v>9</v>
      </c>
      <c r="C14" s="8" t="s">
        <v>25</v>
      </c>
      <c r="D14" s="7" t="s">
        <v>17</v>
      </c>
      <c r="E14" s="8" t="s">
        <v>12</v>
      </c>
      <c r="F14" s="7">
        <v>1526</v>
      </c>
      <c r="G14" s="9">
        <f t="shared" si="0"/>
        <v>0.21666903308249325</v>
      </c>
      <c r="H14" s="10" t="s">
        <v>18</v>
      </c>
    </row>
    <row r="15" spans="1:8" x14ac:dyDescent="0.3">
      <c r="A15" s="6">
        <v>11</v>
      </c>
      <c r="B15" s="7" t="s">
        <v>9</v>
      </c>
      <c r="C15" s="8" t="s">
        <v>26</v>
      </c>
      <c r="D15" s="7" t="s">
        <v>17</v>
      </c>
      <c r="E15" s="8" t="s">
        <v>12</v>
      </c>
      <c r="F15" s="7">
        <v>1526</v>
      </c>
      <c r="G15" s="9">
        <f t="shared" si="0"/>
        <v>0.21666903308249325</v>
      </c>
      <c r="H15" s="10" t="s">
        <v>18</v>
      </c>
    </row>
    <row r="16" spans="1:8" x14ac:dyDescent="0.3">
      <c r="A16" s="6">
        <v>12</v>
      </c>
      <c r="B16" s="7" t="s">
        <v>9</v>
      </c>
      <c r="C16" s="8" t="s">
        <v>27</v>
      </c>
      <c r="D16" s="7" t="s">
        <v>17</v>
      </c>
      <c r="E16" s="8" t="s">
        <v>12</v>
      </c>
      <c r="F16" s="7">
        <v>1526</v>
      </c>
      <c r="G16" s="9">
        <f t="shared" si="0"/>
        <v>0.21666903308249325</v>
      </c>
      <c r="H16" s="10" t="s">
        <v>18</v>
      </c>
    </row>
    <row r="17" spans="1:8" x14ac:dyDescent="0.3">
      <c r="A17" s="6">
        <v>13</v>
      </c>
      <c r="B17" s="7" t="s">
        <v>9</v>
      </c>
      <c r="C17" s="8" t="s">
        <v>28</v>
      </c>
      <c r="D17" s="7" t="s">
        <v>29</v>
      </c>
      <c r="E17" s="8" t="s">
        <v>30</v>
      </c>
      <c r="F17" s="7">
        <v>120</v>
      </c>
      <c r="G17" s="9">
        <f t="shared" si="0"/>
        <v>1.7038193951441148E-2</v>
      </c>
      <c r="H17" s="10" t="s">
        <v>31</v>
      </c>
    </row>
    <row r="18" spans="1:8" x14ac:dyDescent="0.3">
      <c r="A18" s="6">
        <v>14</v>
      </c>
      <c r="B18" s="7" t="s">
        <v>9</v>
      </c>
      <c r="C18" s="8" t="s">
        <v>32</v>
      </c>
      <c r="D18" s="7" t="s">
        <v>33</v>
      </c>
      <c r="E18" s="8" t="s">
        <v>12</v>
      </c>
      <c r="F18" s="7">
        <v>5174</v>
      </c>
      <c r="G18" s="9">
        <f t="shared" si="0"/>
        <v>0.73463012920630411</v>
      </c>
      <c r="H18" s="10" t="s">
        <v>34</v>
      </c>
    </row>
    <row r="19" spans="1:8" x14ac:dyDescent="0.3">
      <c r="A19" s="11">
        <v>15</v>
      </c>
      <c r="B19" s="12" t="s">
        <v>9</v>
      </c>
      <c r="C19" s="13" t="s">
        <v>35</v>
      </c>
      <c r="D19" s="12" t="s">
        <v>33</v>
      </c>
      <c r="E19" s="13" t="s">
        <v>12</v>
      </c>
      <c r="F19" s="12">
        <v>5174</v>
      </c>
      <c r="G19" s="14">
        <f t="shared" si="0"/>
        <v>0.73463012920630411</v>
      </c>
      <c r="H19" s="15" t="s">
        <v>34</v>
      </c>
    </row>
    <row r="20" spans="1:8" x14ac:dyDescent="0.3">
      <c r="H20" s="16"/>
    </row>
    <row r="23" spans="1:8" x14ac:dyDescent="0.3">
      <c r="H23" s="17"/>
    </row>
    <row r="24" spans="1:8" x14ac:dyDescent="0.3">
      <c r="H24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Insight_log</vt:lpstr>
      <vt:lpstr>issue_log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R</dc:creator>
  <cp:lastModifiedBy>AKSHAY R</cp:lastModifiedBy>
  <dcterms:created xsi:type="dcterms:W3CDTF">2026-01-15T05:24:42Z</dcterms:created>
  <dcterms:modified xsi:type="dcterms:W3CDTF">2026-01-15T05:25:51Z</dcterms:modified>
</cp:coreProperties>
</file>